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tanv\Desktop\master_project\data\"/>
    </mc:Choice>
  </mc:AlternateContent>
  <xr:revisionPtr revIDLastSave="0" documentId="13_ncr:1_{C8F09F0C-7AC5-452A-AE0D-7776E8363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</calcChain>
</file>

<file path=xl/sharedStrings.xml><?xml version="1.0" encoding="utf-8"?>
<sst xmlns="http://schemas.openxmlformats.org/spreadsheetml/2006/main" count="56" uniqueCount="56">
  <si>
    <t>ID</t>
  </si>
  <si>
    <t>date</t>
  </si>
  <si>
    <t>time</t>
  </si>
  <si>
    <t>temp</t>
  </si>
  <si>
    <t>weight</t>
  </si>
  <si>
    <t>PH tube</t>
  </si>
  <si>
    <t>1D1</t>
  </si>
  <si>
    <t>2D1</t>
  </si>
  <si>
    <t>3D1</t>
  </si>
  <si>
    <t>4D1</t>
  </si>
  <si>
    <t>5D1</t>
  </si>
  <si>
    <t>6D1</t>
  </si>
  <si>
    <t>1A1</t>
  </si>
  <si>
    <t>2A1</t>
  </si>
  <si>
    <t>3A1</t>
  </si>
  <si>
    <t>4A1</t>
  </si>
  <si>
    <t>5A1</t>
  </si>
  <si>
    <t>6A1</t>
  </si>
  <si>
    <t>1D2</t>
  </si>
  <si>
    <t>2D2</t>
  </si>
  <si>
    <t>3D2</t>
  </si>
  <si>
    <t>4D2</t>
  </si>
  <si>
    <t>5D2</t>
  </si>
  <si>
    <t>6D2</t>
  </si>
  <si>
    <t>1A2</t>
  </si>
  <si>
    <t>2A2</t>
  </si>
  <si>
    <t>3A2</t>
  </si>
  <si>
    <t>4A2</t>
  </si>
  <si>
    <t>5A2</t>
  </si>
  <si>
    <t>6A2</t>
  </si>
  <si>
    <t>1D3</t>
  </si>
  <si>
    <t>2D3</t>
  </si>
  <si>
    <t>3D3</t>
  </si>
  <si>
    <t>4D3</t>
  </si>
  <si>
    <t>5D3</t>
  </si>
  <si>
    <t>6D3</t>
  </si>
  <si>
    <t>1A3</t>
  </si>
  <si>
    <t>2A3</t>
  </si>
  <si>
    <t>3A3</t>
  </si>
  <si>
    <t>4A3</t>
  </si>
  <si>
    <t>5A3</t>
  </si>
  <si>
    <t>6A3</t>
  </si>
  <si>
    <t>concentration microbe</t>
  </si>
  <si>
    <t>260/280 microbe</t>
  </si>
  <si>
    <t>260/230 microbe</t>
  </si>
  <si>
    <t xml:space="preserve"> 260 microbe</t>
  </si>
  <si>
    <t>concentration nematode</t>
  </si>
  <si>
    <t>260/280 nematode</t>
  </si>
  <si>
    <t>260/230 nematode</t>
  </si>
  <si>
    <t xml:space="preserve"> 260 nematode</t>
  </si>
  <si>
    <t>moisture average</t>
  </si>
  <si>
    <t>PH average</t>
  </si>
  <si>
    <t>PH REAL</t>
  </si>
  <si>
    <t>cal4</t>
  </si>
  <si>
    <t>cal7</t>
  </si>
  <si>
    <t>cal9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</si>
</sst>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B19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zoomScale="61" workbookViewId="0">
      <selection activeCell="Q38" sqref="Q38"/>
    </sheetView>
  </sheetViews>
  <sheetFormatPr defaultRowHeight="14.4" x14ac:dyDescent="0.3"/>
  <cols>
    <col min="9" max="9" width="15.109375" customWidth="1"/>
    <col min="12" max="12" width="15.109375" customWidth="1"/>
    <col min="13" max="13" width="13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</v>
      </c>
      <c r="H1" t="s">
        <v>51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52</v>
      </c>
    </row>
    <row r="2" spans="1:17" x14ac:dyDescent="0.3">
      <c r="A2" t="s">
        <v>6</v>
      </c>
      <c r="B2" s="1">
        <v>46153</v>
      </c>
      <c r="C2" s="2">
        <v>0.39583333333333331</v>
      </c>
      <c r="D2">
        <v>10</v>
      </c>
      <c r="E2">
        <v>261</v>
      </c>
      <c r="F2">
        <v>50</v>
      </c>
      <c r="I2">
        <v>201.85</v>
      </c>
      <c r="J2">
        <v>1.9</v>
      </c>
      <c r="K2">
        <v>1.431</v>
      </c>
      <c r="L2">
        <v>4.0410000000000004</v>
      </c>
      <c r="M2" s="3">
        <v>62.1</v>
      </c>
      <c r="N2" s="3">
        <v>1.9350000000000001</v>
      </c>
      <c r="O2" s="3">
        <v>3.1520000000000001</v>
      </c>
      <c r="P2" s="3">
        <v>1.2769999999999999</v>
      </c>
      <c r="Q2" s="3">
        <v>8.23</v>
      </c>
    </row>
    <row r="3" spans="1:17" x14ac:dyDescent="0.3">
      <c r="A3" t="s">
        <v>7</v>
      </c>
      <c r="B3" s="1">
        <v>46153</v>
      </c>
      <c r="C3" s="2">
        <v>0.41597222222222224</v>
      </c>
      <c r="D3">
        <v>10</v>
      </c>
      <c r="E3">
        <v>258</v>
      </c>
      <c r="F3">
        <v>49</v>
      </c>
      <c r="I3">
        <v>313.60000000000002</v>
      </c>
      <c r="J3">
        <v>1.9159999999999999</v>
      </c>
      <c r="K3">
        <v>0.94899999999999995</v>
      </c>
      <c r="L3">
        <v>6.282</v>
      </c>
      <c r="M3" s="3">
        <v>12</v>
      </c>
      <c r="N3" s="3">
        <v>1.875</v>
      </c>
      <c r="O3" s="3">
        <v>2.33</v>
      </c>
      <c r="P3" s="3">
        <v>0.26500000000000001</v>
      </c>
      <c r="Q3" s="3">
        <v>7.51</v>
      </c>
    </row>
    <row r="4" spans="1:17" x14ac:dyDescent="0.3">
      <c r="A4" t="s">
        <v>8</v>
      </c>
      <c r="B4" s="1">
        <v>46153</v>
      </c>
      <c r="C4" s="2">
        <v>0.42152777777777778</v>
      </c>
      <c r="D4">
        <v>10</v>
      </c>
      <c r="E4">
        <v>269</v>
      </c>
      <c r="F4">
        <v>52</v>
      </c>
      <c r="I4">
        <v>236.2</v>
      </c>
      <c r="J4">
        <v>1.9019999999999999</v>
      </c>
      <c r="K4">
        <v>1.7150000000000001</v>
      </c>
      <c r="L4">
        <v>4.7329999999999997</v>
      </c>
      <c r="M4" s="3">
        <v>68.95</v>
      </c>
      <c r="N4" s="3">
        <v>1.5429999999999999</v>
      </c>
      <c r="O4" s="3">
        <v>1.0840000000000001</v>
      </c>
      <c r="P4" s="3">
        <v>2.5920000000000001</v>
      </c>
      <c r="Q4" s="3">
        <v>8.1300000000000008</v>
      </c>
    </row>
    <row r="5" spans="1:17" x14ac:dyDescent="0.3">
      <c r="A5" t="s">
        <v>9</v>
      </c>
      <c r="B5" s="1">
        <v>46153</v>
      </c>
      <c r="C5" s="2">
        <v>0.42986111111111114</v>
      </c>
      <c r="D5">
        <v>11</v>
      </c>
      <c r="E5">
        <v>267</v>
      </c>
      <c r="F5">
        <v>50</v>
      </c>
      <c r="I5">
        <v>122.1</v>
      </c>
      <c r="J5">
        <v>1.9179999999999999</v>
      </c>
      <c r="K5">
        <v>0.371</v>
      </c>
      <c r="L5">
        <v>2.4500000000000002</v>
      </c>
      <c r="M5" s="3">
        <v>40.549999999999997</v>
      </c>
      <c r="N5" s="3">
        <v>1.931</v>
      </c>
      <c r="O5" s="3">
        <v>1.9730000000000001</v>
      </c>
      <c r="P5" s="3">
        <v>0.82599999999999996</v>
      </c>
      <c r="Q5" s="3">
        <v>6.81</v>
      </c>
    </row>
    <row r="6" spans="1:17" x14ac:dyDescent="0.3">
      <c r="A6" t="s">
        <v>10</v>
      </c>
      <c r="B6" s="1">
        <v>46153</v>
      </c>
      <c r="C6" s="2">
        <v>0.40486111111111112</v>
      </c>
      <c r="D6">
        <v>10</v>
      </c>
      <c r="E6">
        <v>277</v>
      </c>
      <c r="F6">
        <v>49</v>
      </c>
      <c r="I6">
        <v>207.15</v>
      </c>
      <c r="J6">
        <v>1.913</v>
      </c>
      <c r="K6">
        <v>0.95799999999999996</v>
      </c>
      <c r="L6">
        <v>4.1539999999999999</v>
      </c>
      <c r="M6" s="3">
        <v>32.450000000000003</v>
      </c>
      <c r="N6" s="3">
        <v>2.0219999999999998</v>
      </c>
      <c r="O6" s="3">
        <v>2.0089999999999999</v>
      </c>
      <c r="P6" s="3">
        <v>0.67100000000000004</v>
      </c>
      <c r="Q6" s="3">
        <v>8.1999999999999993</v>
      </c>
    </row>
    <row r="7" spans="1:17" x14ac:dyDescent="0.3">
      <c r="A7" t="s">
        <v>11</v>
      </c>
      <c r="B7" s="1">
        <v>46153</v>
      </c>
      <c r="C7" s="2">
        <v>0.4375</v>
      </c>
      <c r="D7">
        <v>11</v>
      </c>
      <c r="E7">
        <v>272</v>
      </c>
      <c r="F7">
        <v>51</v>
      </c>
      <c r="I7">
        <v>67.55</v>
      </c>
      <c r="J7">
        <v>1.897</v>
      </c>
      <c r="K7">
        <v>0.27800000000000002</v>
      </c>
      <c r="L7">
        <v>1.355</v>
      </c>
      <c r="M7" s="3">
        <v>15.65</v>
      </c>
      <c r="N7" s="3">
        <v>2.2519999999999998</v>
      </c>
      <c r="O7" s="3">
        <v>1.605</v>
      </c>
      <c r="P7" s="3">
        <v>0.32500000000000001</v>
      </c>
      <c r="Q7" s="3">
        <v>8.18</v>
      </c>
    </row>
    <row r="8" spans="1:17" x14ac:dyDescent="0.3">
      <c r="A8" t="s">
        <v>12</v>
      </c>
      <c r="B8" s="1">
        <v>46155</v>
      </c>
      <c r="C8" s="2">
        <v>0.45</v>
      </c>
      <c r="D8">
        <v>9</v>
      </c>
      <c r="E8">
        <v>236</v>
      </c>
      <c r="F8">
        <v>51</v>
      </c>
      <c r="I8">
        <v>299.85000000000002</v>
      </c>
      <c r="J8">
        <v>1.91</v>
      </c>
      <c r="K8">
        <v>2.0670000000000002</v>
      </c>
      <c r="L8">
        <v>8.0050000000000008</v>
      </c>
      <c r="M8" s="3">
        <v>155.19999999999999</v>
      </c>
      <c r="N8" s="3">
        <v>1.6339999999999999</v>
      </c>
      <c r="O8" s="3">
        <v>0.999</v>
      </c>
      <c r="P8" s="3">
        <v>6.1289999999999996</v>
      </c>
      <c r="Q8" s="3">
        <v>7.58</v>
      </c>
    </row>
    <row r="9" spans="1:17" x14ac:dyDescent="0.3">
      <c r="A9" t="s">
        <v>13</v>
      </c>
      <c r="B9" s="1">
        <v>46155</v>
      </c>
      <c r="C9" s="2">
        <v>0.40763888888888888</v>
      </c>
      <c r="D9">
        <v>10</v>
      </c>
      <c r="E9">
        <v>255</v>
      </c>
      <c r="F9">
        <v>51</v>
      </c>
      <c r="I9">
        <v>229.8</v>
      </c>
      <c r="J9">
        <v>1.909</v>
      </c>
      <c r="K9">
        <v>1.764</v>
      </c>
      <c r="L9">
        <v>4.6029999999999998</v>
      </c>
      <c r="M9" s="3">
        <v>103.75</v>
      </c>
      <c r="N9" s="3">
        <v>1.7350000000000001</v>
      </c>
      <c r="O9" s="3">
        <v>1.1200000000000001</v>
      </c>
      <c r="P9" s="3">
        <v>3.4809999999999999</v>
      </c>
      <c r="Q9" s="3">
        <v>7.03</v>
      </c>
    </row>
    <row r="10" spans="1:17" x14ac:dyDescent="0.3">
      <c r="A10" t="s">
        <v>14</v>
      </c>
      <c r="B10" s="1">
        <v>46155</v>
      </c>
      <c r="C10" s="2">
        <v>0.47222222222222221</v>
      </c>
      <c r="D10">
        <v>10</v>
      </c>
      <c r="E10">
        <v>248</v>
      </c>
      <c r="F10">
        <v>51</v>
      </c>
      <c r="I10">
        <v>204</v>
      </c>
      <c r="J10">
        <v>1.923</v>
      </c>
      <c r="K10">
        <v>1.5389999999999999</v>
      </c>
      <c r="L10">
        <v>4.0880000000000001</v>
      </c>
      <c r="M10" s="3">
        <v>457.6</v>
      </c>
      <c r="N10" s="3">
        <v>1.694</v>
      </c>
      <c r="O10" s="3">
        <v>0.96</v>
      </c>
      <c r="P10" s="3">
        <v>15.98</v>
      </c>
      <c r="Q10" s="3">
        <v>7.61</v>
      </c>
    </row>
    <row r="11" spans="1:17" x14ac:dyDescent="0.3">
      <c r="A11" t="s">
        <v>15</v>
      </c>
      <c r="B11" s="1">
        <v>46155</v>
      </c>
      <c r="C11" s="2">
        <v>0.4375</v>
      </c>
      <c r="D11">
        <v>13</v>
      </c>
      <c r="E11">
        <v>270</v>
      </c>
      <c r="F11">
        <v>51</v>
      </c>
      <c r="I11">
        <v>39.799999999999997</v>
      </c>
      <c r="J11">
        <v>2.0569999999999999</v>
      </c>
      <c r="K11">
        <v>0.98499999999999999</v>
      </c>
      <c r="L11">
        <v>0.80900000000000005</v>
      </c>
      <c r="M11" s="3">
        <v>75.8</v>
      </c>
      <c r="N11" s="3">
        <v>1.7809999999999999</v>
      </c>
      <c r="O11" s="3">
        <v>1.329</v>
      </c>
      <c r="P11" s="3">
        <v>2.81</v>
      </c>
      <c r="Q11" s="3">
        <v>7.47</v>
      </c>
    </row>
    <row r="12" spans="1:17" x14ac:dyDescent="0.3">
      <c r="A12" t="s">
        <v>16</v>
      </c>
      <c r="B12" s="1">
        <v>46155</v>
      </c>
      <c r="C12" s="2">
        <v>0.41597222222222224</v>
      </c>
      <c r="D12">
        <v>13</v>
      </c>
      <c r="E12">
        <v>228</v>
      </c>
      <c r="F12">
        <v>51</v>
      </c>
      <c r="I12">
        <v>207.15</v>
      </c>
      <c r="J12">
        <v>1.9219999999999999</v>
      </c>
      <c r="K12">
        <v>1.819</v>
      </c>
      <c r="L12">
        <v>4.1470000000000002</v>
      </c>
      <c r="M12" s="3">
        <v>237.4</v>
      </c>
      <c r="N12" s="3">
        <v>1.752</v>
      </c>
      <c r="O12" s="3">
        <v>1.32</v>
      </c>
      <c r="P12" s="3">
        <v>7.2389999999999999</v>
      </c>
      <c r="Q12" s="3">
        <v>7.53</v>
      </c>
    </row>
    <row r="13" spans="1:17" x14ac:dyDescent="0.3">
      <c r="A13" t="s">
        <v>17</v>
      </c>
      <c r="B13" s="1">
        <v>46155</v>
      </c>
      <c r="C13" s="2">
        <v>0.42708333333333331</v>
      </c>
      <c r="D13">
        <v>14</v>
      </c>
      <c r="E13">
        <v>272</v>
      </c>
      <c r="F13">
        <v>50</v>
      </c>
      <c r="I13">
        <v>122.25</v>
      </c>
      <c r="J13">
        <v>1.9339999999999999</v>
      </c>
      <c r="K13">
        <v>1.5369999999999999</v>
      </c>
      <c r="L13">
        <v>2.4569999999999999</v>
      </c>
      <c r="M13" s="3">
        <v>127.6</v>
      </c>
      <c r="N13" s="3">
        <v>1.849</v>
      </c>
      <c r="O13" s="3">
        <v>1.274</v>
      </c>
      <c r="P13" s="3">
        <v>4.9349999999999996</v>
      </c>
      <c r="Q13" s="3">
        <v>6.66</v>
      </c>
    </row>
    <row r="14" spans="1:17" x14ac:dyDescent="0.3">
      <c r="A14" t="s">
        <v>18</v>
      </c>
      <c r="B14" s="1">
        <v>46160</v>
      </c>
      <c r="C14" s="2">
        <v>0.4</v>
      </c>
      <c r="D14">
        <v>6.2</v>
      </c>
      <c r="E14">
        <v>301</v>
      </c>
      <c r="F14">
        <v>50</v>
      </c>
      <c r="G14">
        <v>72.75</v>
      </c>
      <c r="H14">
        <v>7.25</v>
      </c>
      <c r="I14">
        <v>293.85000000000002</v>
      </c>
      <c r="J14">
        <v>1.909</v>
      </c>
      <c r="K14">
        <v>1.2789999999999999</v>
      </c>
      <c r="L14">
        <v>5.8849999999999998</v>
      </c>
      <c r="M14" s="3">
        <v>53.55</v>
      </c>
      <c r="N14" s="3">
        <v>1.9510000000000001</v>
      </c>
      <c r="O14" s="3">
        <v>1.9059999999999999</v>
      </c>
      <c r="P14" s="3">
        <v>1.0920000000000001</v>
      </c>
      <c r="Q14" s="3">
        <v>8.4</v>
      </c>
    </row>
    <row r="15" spans="1:17" x14ac:dyDescent="0.3">
      <c r="A15" t="s">
        <v>19</v>
      </c>
      <c r="B15" s="1">
        <v>46160</v>
      </c>
      <c r="C15" s="2">
        <v>0.4236111111111111</v>
      </c>
      <c r="D15">
        <v>9.9</v>
      </c>
      <c r="E15">
        <v>283</v>
      </c>
      <c r="F15">
        <v>52</v>
      </c>
      <c r="G15">
        <v>99</v>
      </c>
      <c r="H15">
        <v>7.125</v>
      </c>
      <c r="I15">
        <v>190.15</v>
      </c>
      <c r="J15">
        <v>1.9159999999999999</v>
      </c>
      <c r="K15">
        <v>0.74099999999999999</v>
      </c>
      <c r="L15">
        <v>3.8039999999999998</v>
      </c>
      <c r="M15" s="3">
        <v>45.25</v>
      </c>
      <c r="N15" s="3">
        <v>2.016</v>
      </c>
      <c r="O15" s="3">
        <v>2.3090000000000002</v>
      </c>
      <c r="P15" s="3">
        <v>0.92200000000000004</v>
      </c>
      <c r="Q15" s="3">
        <v>7.87</v>
      </c>
    </row>
    <row r="16" spans="1:17" x14ac:dyDescent="0.3">
      <c r="A16" t="s">
        <v>20</v>
      </c>
      <c r="B16" s="1">
        <v>46160</v>
      </c>
      <c r="C16" s="2">
        <v>0.43055555555555558</v>
      </c>
      <c r="D16">
        <f>(10.9+9.8)/2</f>
        <v>10.350000000000001</v>
      </c>
      <c r="E16">
        <v>334</v>
      </c>
      <c r="F16">
        <v>49</v>
      </c>
      <c r="G16">
        <v>98</v>
      </c>
      <c r="H16">
        <v>7.125</v>
      </c>
      <c r="I16">
        <v>82.95</v>
      </c>
      <c r="J16">
        <v>1.9590000000000001</v>
      </c>
      <c r="K16">
        <v>0.49199999999999999</v>
      </c>
      <c r="L16">
        <v>1.6659999999999999</v>
      </c>
      <c r="M16" s="3">
        <v>138.9</v>
      </c>
      <c r="N16" s="3">
        <v>1.804</v>
      </c>
      <c r="O16" s="3">
        <v>1.31</v>
      </c>
      <c r="P16" s="3">
        <v>4.4729999999999999</v>
      </c>
      <c r="Q16" s="3">
        <v>7.85</v>
      </c>
    </row>
    <row r="17" spans="1:17" x14ac:dyDescent="0.3">
      <c r="A17" t="s">
        <v>21</v>
      </c>
      <c r="B17" s="1">
        <v>46160</v>
      </c>
      <c r="C17" s="2">
        <v>0.4375</v>
      </c>
      <c r="D17">
        <f>(8.7+9.9)/2</f>
        <v>9.3000000000000007</v>
      </c>
      <c r="E17">
        <v>307</v>
      </c>
      <c r="F17">
        <v>51</v>
      </c>
      <c r="G17">
        <v>61.67</v>
      </c>
      <c r="H17">
        <v>7.375</v>
      </c>
      <c r="I17">
        <v>95</v>
      </c>
      <c r="J17">
        <v>1.8979999999999999</v>
      </c>
      <c r="K17">
        <v>0.247</v>
      </c>
      <c r="L17">
        <v>1.94</v>
      </c>
      <c r="M17" s="3">
        <v>214.55</v>
      </c>
      <c r="N17" s="3">
        <v>1.8380000000000001</v>
      </c>
      <c r="O17" s="3">
        <v>1.4570000000000001</v>
      </c>
      <c r="P17" s="3">
        <v>6.0209999999999999</v>
      </c>
      <c r="Q17" s="3">
        <v>7.29</v>
      </c>
    </row>
    <row r="18" spans="1:17" x14ac:dyDescent="0.3">
      <c r="A18" t="s">
        <v>22</v>
      </c>
      <c r="B18" s="1">
        <v>46160</v>
      </c>
      <c r="C18" s="2">
        <v>0.40972222222222221</v>
      </c>
      <c r="D18">
        <f>(9.4+9.2)/2</f>
        <v>9.3000000000000007</v>
      </c>
      <c r="E18">
        <v>270</v>
      </c>
      <c r="F18">
        <v>49</v>
      </c>
      <c r="G18">
        <v>99</v>
      </c>
      <c r="H18">
        <v>6.75</v>
      </c>
      <c r="I18">
        <v>237.4</v>
      </c>
      <c r="J18">
        <v>1.929</v>
      </c>
      <c r="K18">
        <v>1.4990000000000001</v>
      </c>
      <c r="L18">
        <v>4.7530000000000001</v>
      </c>
      <c r="M18" s="3">
        <v>26.35</v>
      </c>
      <c r="N18" s="3">
        <v>2.0910000000000002</v>
      </c>
      <c r="O18" s="3">
        <v>0.92600000000000005</v>
      </c>
      <c r="P18" s="3">
        <v>0.55800000000000005</v>
      </c>
      <c r="Q18" s="3">
        <v>7.92</v>
      </c>
    </row>
    <row r="19" spans="1:17" x14ac:dyDescent="0.3">
      <c r="A19" t="s">
        <v>23</v>
      </c>
      <c r="B19" s="1">
        <v>46160</v>
      </c>
      <c r="C19" s="2">
        <v>0.44583333333333336</v>
      </c>
      <c r="D19">
        <f>(12+12+13)/3</f>
        <v>12.333333333333334</v>
      </c>
      <c r="E19">
        <v>258</v>
      </c>
      <c r="F19">
        <v>52</v>
      </c>
      <c r="G19">
        <v>67.75</v>
      </c>
      <c r="H19">
        <v>6.25</v>
      </c>
      <c r="I19">
        <v>60.25</v>
      </c>
      <c r="J19">
        <v>1.9470000000000001</v>
      </c>
      <c r="K19">
        <v>0.624</v>
      </c>
      <c r="L19">
        <v>1.2070000000000001</v>
      </c>
      <c r="M19" s="3">
        <v>79.849999999999994</v>
      </c>
      <c r="N19" s="3">
        <v>1.8069999999999999</v>
      </c>
      <c r="O19" s="3">
        <v>1.121</v>
      </c>
      <c r="P19" s="3">
        <v>2.601</v>
      </c>
      <c r="Q19" s="3">
        <v>8.2799999999999994</v>
      </c>
    </row>
    <row r="20" spans="1:17" x14ac:dyDescent="0.3">
      <c r="A20" t="s">
        <v>24</v>
      </c>
      <c r="B20" s="1">
        <v>46162</v>
      </c>
      <c r="C20" s="2">
        <v>0.5</v>
      </c>
      <c r="D20">
        <v>10.029999999999999</v>
      </c>
      <c r="E20">
        <v>190</v>
      </c>
      <c r="F20">
        <v>51</v>
      </c>
      <c r="G20">
        <v>81</v>
      </c>
      <c r="H20">
        <v>7.5</v>
      </c>
      <c r="I20">
        <v>457.1</v>
      </c>
      <c r="J20">
        <v>1.9159999999999999</v>
      </c>
      <c r="K20">
        <v>1.86</v>
      </c>
      <c r="L20">
        <v>9.1449999999999996</v>
      </c>
      <c r="M20" s="3">
        <v>78.400000000000006</v>
      </c>
      <c r="N20" s="3">
        <v>1.823</v>
      </c>
      <c r="O20" s="3">
        <v>1.1499999999999999</v>
      </c>
      <c r="P20" s="3">
        <v>2.6579999999999999</v>
      </c>
      <c r="Q20" s="3">
        <v>8.02</v>
      </c>
    </row>
    <row r="21" spans="1:17" x14ac:dyDescent="0.3">
      <c r="A21" t="s">
        <v>25</v>
      </c>
      <c r="B21" s="1">
        <v>46162</v>
      </c>
      <c r="C21" s="2">
        <v>0.46388888888888891</v>
      </c>
      <c r="D21">
        <v>11.87</v>
      </c>
      <c r="E21">
        <v>230</v>
      </c>
      <c r="F21">
        <v>49</v>
      </c>
      <c r="G21">
        <v>56.67</v>
      </c>
      <c r="H21">
        <v>7</v>
      </c>
      <c r="I21">
        <v>337.45</v>
      </c>
      <c r="J21">
        <v>1.9159999999999999</v>
      </c>
      <c r="K21">
        <v>1.782</v>
      </c>
      <c r="L21">
        <v>6.7569999999999997</v>
      </c>
      <c r="M21" s="3">
        <v>47.25</v>
      </c>
      <c r="N21" s="3">
        <v>1.74</v>
      </c>
      <c r="O21" s="3">
        <v>0.97</v>
      </c>
      <c r="P21" s="3">
        <v>2.2629999999999999</v>
      </c>
      <c r="Q21" s="3">
        <v>7.76</v>
      </c>
    </row>
    <row r="22" spans="1:17" x14ac:dyDescent="0.3">
      <c r="A22" t="s">
        <v>26</v>
      </c>
      <c r="B22" s="1">
        <v>46162</v>
      </c>
      <c r="C22" s="2">
        <v>0.51388888888888884</v>
      </c>
      <c r="D22">
        <v>11.43</v>
      </c>
      <c r="E22">
        <v>290</v>
      </c>
      <c r="F22">
        <v>51</v>
      </c>
      <c r="G22">
        <v>64.67</v>
      </c>
      <c r="H22">
        <v>7.33</v>
      </c>
      <c r="I22">
        <v>129</v>
      </c>
      <c r="J22">
        <v>1.931</v>
      </c>
      <c r="K22">
        <v>1.0269999999999999</v>
      </c>
      <c r="L22">
        <v>2.58</v>
      </c>
      <c r="M22" s="3">
        <v>64.25</v>
      </c>
      <c r="N22" s="3">
        <v>1.8460000000000001</v>
      </c>
      <c r="O22" s="3">
        <v>1.325</v>
      </c>
      <c r="P22" s="3">
        <v>1.8819999999999999</v>
      </c>
      <c r="Q22" s="3">
        <v>8.2200000000000006</v>
      </c>
    </row>
    <row r="23" spans="1:17" x14ac:dyDescent="0.3">
      <c r="A23" t="s">
        <v>27</v>
      </c>
      <c r="B23" s="1">
        <v>46162</v>
      </c>
      <c r="C23" s="2">
        <v>0.48819444444444443</v>
      </c>
      <c r="D23">
        <v>14.83</v>
      </c>
      <c r="E23">
        <v>246</v>
      </c>
      <c r="F23">
        <v>52</v>
      </c>
      <c r="G23">
        <v>55.67</v>
      </c>
      <c r="H23">
        <v>6.83</v>
      </c>
      <c r="I23">
        <v>63</v>
      </c>
      <c r="J23">
        <v>1.95</v>
      </c>
      <c r="K23">
        <v>0.33800000000000002</v>
      </c>
      <c r="L23">
        <v>1.2849999999999999</v>
      </c>
      <c r="M23" s="3">
        <v>110.45</v>
      </c>
      <c r="N23" s="3">
        <v>1.6180000000000001</v>
      </c>
      <c r="O23" s="3">
        <v>0.91300000000000003</v>
      </c>
      <c r="P23" s="3">
        <v>5.3410000000000002</v>
      </c>
      <c r="Q23" s="3">
        <v>7.83</v>
      </c>
    </row>
    <row r="24" spans="1:17" x14ac:dyDescent="0.3">
      <c r="A24" t="s">
        <v>28</v>
      </c>
      <c r="B24" s="1">
        <v>46162</v>
      </c>
      <c r="C24" s="2">
        <v>0.47222222222222221</v>
      </c>
      <c r="D24">
        <v>14.47</v>
      </c>
      <c r="E24">
        <v>205</v>
      </c>
      <c r="F24">
        <v>50</v>
      </c>
      <c r="G24">
        <v>44.33</v>
      </c>
      <c r="H24">
        <v>6.83</v>
      </c>
      <c r="I24">
        <v>313.55</v>
      </c>
      <c r="J24">
        <v>1.9219999999999999</v>
      </c>
      <c r="K24">
        <v>1.931</v>
      </c>
      <c r="L24">
        <v>6.28</v>
      </c>
      <c r="M24" s="3">
        <v>466</v>
      </c>
      <c r="N24" s="3">
        <v>1.7010000000000001</v>
      </c>
      <c r="O24" s="3">
        <v>1.0009999999999999</v>
      </c>
      <c r="P24" s="3">
        <v>16.8</v>
      </c>
      <c r="Q24" s="3">
        <v>7.69</v>
      </c>
    </row>
    <row r="25" spans="1:17" x14ac:dyDescent="0.3">
      <c r="A25" t="s">
        <v>29</v>
      </c>
      <c r="B25" s="1">
        <v>46162</v>
      </c>
      <c r="C25" s="2">
        <v>0.47916666666666669</v>
      </c>
      <c r="D25">
        <v>13.4</v>
      </c>
      <c r="E25">
        <v>225</v>
      </c>
      <c r="F25">
        <v>50</v>
      </c>
      <c r="G25">
        <v>53</v>
      </c>
      <c r="H25">
        <v>7.17</v>
      </c>
      <c r="I25">
        <v>132</v>
      </c>
      <c r="J25">
        <v>1.931</v>
      </c>
      <c r="K25">
        <v>1.2070000000000001</v>
      </c>
      <c r="L25">
        <v>2.649</v>
      </c>
      <c r="M25" s="3">
        <v>300.5</v>
      </c>
      <c r="N25" s="3">
        <v>1.762</v>
      </c>
      <c r="O25" s="3">
        <v>0.92200000000000004</v>
      </c>
      <c r="P25" s="3">
        <v>13.36</v>
      </c>
      <c r="Q25" s="3">
        <v>7.57</v>
      </c>
    </row>
    <row r="26" spans="1:17" x14ac:dyDescent="0.3">
      <c r="A26" t="s">
        <v>30</v>
      </c>
      <c r="B26" s="1">
        <v>46168</v>
      </c>
      <c r="C26" s="2">
        <v>0.3923611111111111</v>
      </c>
      <c r="D26">
        <v>14.93</v>
      </c>
      <c r="E26">
        <v>320</v>
      </c>
      <c r="F26">
        <v>51</v>
      </c>
      <c r="G26">
        <v>70.33</v>
      </c>
      <c r="H26">
        <v>7.33</v>
      </c>
      <c r="I26">
        <v>265.85000000000002</v>
      </c>
      <c r="J26">
        <v>1.913</v>
      </c>
      <c r="K26">
        <v>0.80600000000000005</v>
      </c>
      <c r="L26">
        <v>5.3209999999999997</v>
      </c>
      <c r="M26" s="3">
        <v>200.85</v>
      </c>
      <c r="N26" s="3">
        <v>1.7969999999999999</v>
      </c>
      <c r="O26" s="3">
        <v>1.3959999999999999</v>
      </c>
      <c r="P26" s="3">
        <v>5.923</v>
      </c>
      <c r="Q26" s="3">
        <v>8.2899999999999991</v>
      </c>
    </row>
    <row r="27" spans="1:17" x14ac:dyDescent="0.3">
      <c r="A27" t="s">
        <v>31</v>
      </c>
      <c r="B27" s="1">
        <v>46168</v>
      </c>
      <c r="C27" s="2">
        <v>0.41666666666666669</v>
      </c>
      <c r="D27">
        <v>22.47</v>
      </c>
      <c r="E27">
        <v>323</v>
      </c>
      <c r="F27">
        <v>50</v>
      </c>
      <c r="G27">
        <v>74</v>
      </c>
      <c r="H27">
        <v>6.67</v>
      </c>
      <c r="I27">
        <v>216.2</v>
      </c>
      <c r="J27">
        <v>1.923</v>
      </c>
      <c r="K27">
        <v>1.2</v>
      </c>
      <c r="L27">
        <v>4.33</v>
      </c>
      <c r="M27" s="3">
        <v>105.8</v>
      </c>
      <c r="N27" s="3">
        <v>1.81</v>
      </c>
      <c r="O27" s="3">
        <v>1.44</v>
      </c>
      <c r="P27" s="3">
        <v>3.0289999999999999</v>
      </c>
      <c r="Q27" s="3">
        <v>8.0500000000000007</v>
      </c>
    </row>
    <row r="28" spans="1:17" x14ac:dyDescent="0.3">
      <c r="A28" t="s">
        <v>32</v>
      </c>
      <c r="B28" s="1">
        <v>46168</v>
      </c>
      <c r="C28" s="2">
        <v>0.42222222222222222</v>
      </c>
      <c r="D28">
        <v>18.93</v>
      </c>
      <c r="E28">
        <v>317</v>
      </c>
      <c r="F28">
        <v>51</v>
      </c>
      <c r="G28">
        <v>73</v>
      </c>
      <c r="H28">
        <v>7.17</v>
      </c>
      <c r="I28">
        <v>284.55</v>
      </c>
      <c r="J28">
        <v>1.92</v>
      </c>
      <c r="K28">
        <v>0.99199999999999999</v>
      </c>
      <c r="L28">
        <v>5.6959999999999997</v>
      </c>
      <c r="M28" s="3">
        <v>197.2</v>
      </c>
      <c r="N28" s="3">
        <v>1.7070000000000001</v>
      </c>
      <c r="O28" s="3">
        <v>1.3680000000000001</v>
      </c>
      <c r="P28" s="3">
        <v>5.8129999999999997</v>
      </c>
      <c r="Q28" s="3">
        <v>8.24</v>
      </c>
    </row>
    <row r="29" spans="1:17" x14ac:dyDescent="0.3">
      <c r="A29" t="s">
        <v>33</v>
      </c>
      <c r="B29" s="1">
        <v>46168</v>
      </c>
      <c r="C29" s="2">
        <v>0.42916666666666664</v>
      </c>
      <c r="D29">
        <v>22.1</v>
      </c>
      <c r="E29">
        <v>294</v>
      </c>
      <c r="F29">
        <v>50</v>
      </c>
      <c r="G29">
        <v>43</v>
      </c>
      <c r="H29">
        <v>6.67</v>
      </c>
      <c r="I29">
        <v>181.15</v>
      </c>
      <c r="J29">
        <v>1.9339999999999999</v>
      </c>
      <c r="K29">
        <v>0.68100000000000005</v>
      </c>
      <c r="L29">
        <v>3.629</v>
      </c>
      <c r="M29" s="3">
        <v>150.25</v>
      </c>
      <c r="N29" s="3">
        <v>1.85</v>
      </c>
      <c r="O29" s="3">
        <v>1.7529999999999999</v>
      </c>
      <c r="P29" s="3">
        <v>3.86</v>
      </c>
      <c r="Q29" s="3">
        <v>7.46</v>
      </c>
    </row>
    <row r="30" spans="1:17" x14ac:dyDescent="0.3">
      <c r="A30" t="s">
        <v>34</v>
      </c>
      <c r="B30" s="1">
        <v>46168</v>
      </c>
      <c r="C30" s="2">
        <v>0.40277777777777779</v>
      </c>
      <c r="D30">
        <v>18.8</v>
      </c>
      <c r="E30">
        <v>295</v>
      </c>
      <c r="F30">
        <v>51</v>
      </c>
      <c r="G30">
        <v>78.33</v>
      </c>
      <c r="H30">
        <v>7.33</v>
      </c>
      <c r="I30">
        <v>338.5</v>
      </c>
      <c r="J30">
        <v>1.92</v>
      </c>
      <c r="K30">
        <v>0.72099999999999997</v>
      </c>
      <c r="L30">
        <v>6.7809999999999997</v>
      </c>
      <c r="M30" s="3">
        <v>100.45</v>
      </c>
      <c r="N30" s="3">
        <v>1.7030000000000001</v>
      </c>
      <c r="O30" s="3">
        <v>1.224</v>
      </c>
      <c r="P30" s="3">
        <v>3.1309999999999998</v>
      </c>
      <c r="Q30" s="3">
        <v>8.25</v>
      </c>
    </row>
    <row r="31" spans="1:17" x14ac:dyDescent="0.3">
      <c r="A31" t="s">
        <v>35</v>
      </c>
      <c r="B31" s="1">
        <v>46168</v>
      </c>
      <c r="C31" s="2">
        <v>0.4375</v>
      </c>
      <c r="D31">
        <v>29.7</v>
      </c>
      <c r="E31">
        <v>288</v>
      </c>
      <c r="F31">
        <v>51</v>
      </c>
      <c r="G31">
        <v>59</v>
      </c>
      <c r="H31">
        <v>6.83</v>
      </c>
      <c r="I31">
        <v>60.9</v>
      </c>
      <c r="J31">
        <v>1.98</v>
      </c>
      <c r="K31">
        <v>0.65100000000000002</v>
      </c>
      <c r="L31">
        <v>1.222</v>
      </c>
      <c r="M31" s="3">
        <v>63.3</v>
      </c>
      <c r="N31" s="3">
        <v>1.8029999999999999</v>
      </c>
      <c r="O31" s="3">
        <v>1.375</v>
      </c>
      <c r="P31" s="3">
        <v>1.86</v>
      </c>
      <c r="Q31" s="3">
        <v>8.3800000000000008</v>
      </c>
    </row>
    <row r="32" spans="1:17" x14ac:dyDescent="0.3">
      <c r="A32" t="s">
        <v>36</v>
      </c>
      <c r="B32" s="1">
        <v>46170</v>
      </c>
      <c r="C32" s="2">
        <v>0.5</v>
      </c>
      <c r="D32">
        <v>14.07</v>
      </c>
      <c r="E32">
        <v>306</v>
      </c>
      <c r="F32">
        <v>50</v>
      </c>
      <c r="G32">
        <v>79</v>
      </c>
      <c r="H32">
        <v>6.17</v>
      </c>
      <c r="I32">
        <v>548.6</v>
      </c>
      <c r="J32">
        <v>1.921</v>
      </c>
      <c r="K32">
        <v>1.4530000000000001</v>
      </c>
      <c r="L32">
        <v>10.99</v>
      </c>
      <c r="M32" s="3">
        <v>183.95</v>
      </c>
      <c r="N32" s="3">
        <v>1.7270000000000001</v>
      </c>
      <c r="O32" s="3">
        <v>1.399</v>
      </c>
      <c r="P32" s="3">
        <v>5.649</v>
      </c>
      <c r="Q32" s="3">
        <v>7.99</v>
      </c>
    </row>
    <row r="33" spans="1:17" x14ac:dyDescent="0.3">
      <c r="A33" t="s">
        <v>37</v>
      </c>
      <c r="B33" s="1">
        <v>46170</v>
      </c>
      <c r="C33" s="2">
        <v>0.44930555555555557</v>
      </c>
      <c r="D33">
        <v>15.3</v>
      </c>
      <c r="E33">
        <v>311</v>
      </c>
      <c r="F33">
        <v>51</v>
      </c>
      <c r="G33">
        <v>50.67</v>
      </c>
      <c r="H33">
        <v>6.67</v>
      </c>
      <c r="I33">
        <v>356.55</v>
      </c>
      <c r="J33">
        <v>1.9179999999999999</v>
      </c>
      <c r="K33">
        <v>1.35</v>
      </c>
      <c r="L33">
        <v>7.1420000000000003</v>
      </c>
      <c r="M33" s="3">
        <v>113.95</v>
      </c>
      <c r="N33" s="3">
        <v>1.6020000000000001</v>
      </c>
      <c r="O33" s="3">
        <v>0.997</v>
      </c>
      <c r="P33" s="3">
        <v>4.7519999999999998</v>
      </c>
      <c r="Q33" s="3">
        <v>7.7</v>
      </c>
    </row>
    <row r="34" spans="1:17" x14ac:dyDescent="0.3">
      <c r="A34" t="s">
        <v>38</v>
      </c>
      <c r="B34" s="1">
        <v>46170</v>
      </c>
      <c r="C34" s="2">
        <v>0.53194444444444444</v>
      </c>
      <c r="D34">
        <v>18</v>
      </c>
      <c r="E34">
        <v>330</v>
      </c>
      <c r="F34">
        <v>50</v>
      </c>
      <c r="G34">
        <v>41.67</v>
      </c>
      <c r="H34">
        <v>6.83</v>
      </c>
      <c r="I34">
        <v>247.7</v>
      </c>
      <c r="J34">
        <v>1.899</v>
      </c>
      <c r="K34">
        <v>1.095</v>
      </c>
      <c r="L34">
        <v>4.9649999999999999</v>
      </c>
      <c r="M34" s="3">
        <v>68.400000000000006</v>
      </c>
      <c r="N34" s="3">
        <v>1.7190000000000001</v>
      </c>
      <c r="O34" s="3">
        <v>1.0640000000000001</v>
      </c>
      <c r="P34" s="3">
        <v>2.5459999999999998</v>
      </c>
      <c r="Q34" s="3">
        <v>8.25</v>
      </c>
    </row>
    <row r="35" spans="1:17" x14ac:dyDescent="0.3">
      <c r="A35" t="s">
        <v>39</v>
      </c>
      <c r="B35" s="1">
        <v>46170</v>
      </c>
      <c r="C35" s="2">
        <v>0.4861111111111111</v>
      </c>
      <c r="D35">
        <v>24.97</v>
      </c>
      <c r="E35">
        <v>410</v>
      </c>
      <c r="F35">
        <v>51</v>
      </c>
      <c r="G35">
        <v>50</v>
      </c>
      <c r="H35">
        <v>7</v>
      </c>
      <c r="I35">
        <v>72.95</v>
      </c>
      <c r="J35">
        <v>1.925</v>
      </c>
      <c r="K35">
        <v>0.59199999999999997</v>
      </c>
      <c r="L35">
        <v>1.4730000000000001</v>
      </c>
      <c r="M35" s="3">
        <v>77.55</v>
      </c>
      <c r="N35" s="3">
        <v>1.6839999999999999</v>
      </c>
      <c r="O35" s="3">
        <v>1.0620000000000001</v>
      </c>
      <c r="P35" s="3">
        <v>3.101</v>
      </c>
      <c r="Q35" s="3">
        <v>7.98</v>
      </c>
    </row>
    <row r="36" spans="1:17" x14ac:dyDescent="0.3">
      <c r="A36" t="s">
        <v>40</v>
      </c>
      <c r="B36" s="1">
        <v>46170</v>
      </c>
      <c r="C36" s="2">
        <v>0.45694444444444443</v>
      </c>
      <c r="D36">
        <v>24.77</v>
      </c>
      <c r="E36">
        <v>287</v>
      </c>
      <c r="F36">
        <v>51</v>
      </c>
      <c r="G36">
        <v>52.33</v>
      </c>
      <c r="H36">
        <v>7</v>
      </c>
      <c r="I36">
        <v>336.3</v>
      </c>
      <c r="J36">
        <v>1.9119999999999999</v>
      </c>
      <c r="K36">
        <v>1.649</v>
      </c>
      <c r="L36">
        <v>6.73</v>
      </c>
      <c r="M36" s="3">
        <v>113.25</v>
      </c>
      <c r="N36" s="3">
        <v>1.6619999999999999</v>
      </c>
      <c r="O36" s="3">
        <v>1.137</v>
      </c>
      <c r="P36" s="3">
        <v>4</v>
      </c>
      <c r="Q36" s="3">
        <v>7.83</v>
      </c>
    </row>
    <row r="37" spans="1:17" x14ac:dyDescent="0.3">
      <c r="A37" t="s">
        <v>41</v>
      </c>
      <c r="B37" s="1">
        <v>46170</v>
      </c>
      <c r="C37" s="2">
        <v>0.47083333333333333</v>
      </c>
      <c r="D37">
        <v>29.3</v>
      </c>
      <c r="E37">
        <v>349</v>
      </c>
      <c r="F37">
        <v>51</v>
      </c>
      <c r="G37">
        <v>49.67</v>
      </c>
      <c r="H37">
        <v>6.5</v>
      </c>
      <c r="I37">
        <v>109.75</v>
      </c>
      <c r="J37">
        <v>1.917</v>
      </c>
      <c r="K37">
        <v>1.05</v>
      </c>
      <c r="L37">
        <v>2.206</v>
      </c>
      <c r="M37" s="3">
        <v>56.1</v>
      </c>
      <c r="N37" s="3">
        <v>1.7949999999999999</v>
      </c>
      <c r="O37" s="3">
        <v>1.107</v>
      </c>
      <c r="P37" s="3">
        <v>2.4889999999999999</v>
      </c>
      <c r="Q37" s="3">
        <v>7.52</v>
      </c>
    </row>
    <row r="38" spans="1:17" x14ac:dyDescent="0.3">
      <c r="A38" t="s">
        <v>53</v>
      </c>
      <c r="Q38">
        <v>4.04</v>
      </c>
    </row>
    <row r="39" spans="1:17" x14ac:dyDescent="0.3">
      <c r="A39" t="s">
        <v>54</v>
      </c>
      <c r="Q39">
        <v>7.1</v>
      </c>
    </row>
    <row r="40" spans="1:17" x14ac:dyDescent="0.3">
      <c r="A40" t="s">
        <v>55</v>
      </c>
      <c r="Q40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van dijk</dc:creator>
  <cp:lastModifiedBy>Stan van Dijk</cp:lastModifiedBy>
  <dcterms:created xsi:type="dcterms:W3CDTF">2015-06-05T18:17:20Z</dcterms:created>
  <dcterms:modified xsi:type="dcterms:W3CDTF">2026-07-03T09:07:00Z</dcterms:modified>
</cp:coreProperties>
</file>